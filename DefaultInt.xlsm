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ice\Desktop\Projects\Interest calcualtion VBA\"/>
    </mc:Choice>
  </mc:AlternateContent>
  <xr:revisionPtr revIDLastSave="0" documentId="13_ncr:1_{4263F7C1-A940-400E-9035-AB352DD78E4A}" xr6:coauthVersionLast="47" xr6:coauthVersionMax="47" xr10:uidLastSave="{00000000-0000-0000-0000-000000000000}"/>
  <bookViews>
    <workbookView xWindow="-108" yWindow="-108" windowWidth="23256" windowHeight="12576" tabRatio="606" activeTab="3" xr2:uid="{F95F9082-771E-48E8-910D-755035293D3B}"/>
  </bookViews>
  <sheets>
    <sheet name="Data" sheetId="1" r:id="rId1"/>
    <sheet name="Repayment Schedule" sheetId="2" r:id="rId2"/>
    <sheet name="Repayment History" sheetId="3" r:id="rId3"/>
    <sheet name="Output" sheetId="9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4" i="2" l="1"/>
  <c r="A25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D2" i="1" l="1"/>
  <c r="A3" i="2"/>
</calcChain>
</file>

<file path=xl/sharedStrings.xml><?xml version="1.0" encoding="utf-8"?>
<sst xmlns="http://schemas.openxmlformats.org/spreadsheetml/2006/main" count="52" uniqueCount="51">
  <si>
    <t>Due interest</t>
    <phoneticPr fontId="3" type="noConversion"/>
  </si>
  <si>
    <t>Repayment date</t>
    <phoneticPr fontId="3" type="noConversion"/>
  </si>
  <si>
    <t>Repayment amount</t>
    <phoneticPr fontId="3" type="noConversion"/>
  </si>
  <si>
    <t>From</t>
    <phoneticPr fontId="3" type="noConversion"/>
  </si>
  <si>
    <t>Default interest rate</t>
    <phoneticPr fontId="3" type="noConversion"/>
  </si>
  <si>
    <t>Today's date</t>
    <phoneticPr fontId="3" type="noConversion"/>
  </si>
  <si>
    <t>Demand ltr date</t>
    <phoneticPr fontId="3" type="noConversion"/>
  </si>
  <si>
    <t>Last instalment</t>
    <phoneticPr fontId="3" type="noConversion"/>
  </si>
  <si>
    <t>Instalment</t>
    <phoneticPr fontId="3" type="noConversion"/>
  </si>
  <si>
    <t>Due</t>
    <phoneticPr fontId="3" type="noConversion"/>
  </si>
  <si>
    <t>Outstanding interest:</t>
    <phoneticPr fontId="3" type="noConversion"/>
  </si>
  <si>
    <t>From</t>
  </si>
  <si>
    <t>To</t>
  </si>
  <si>
    <t>Default interest</t>
  </si>
  <si>
    <t>Instalment No.</t>
  </si>
  <si>
    <t>Overdue Amount</t>
  </si>
  <si>
    <t>Days</t>
  </si>
  <si>
    <t>Must fill in last row</t>
    <phoneticPr fontId="3" type="noConversion"/>
  </si>
  <si>
    <t>Payment on 16/08/2021 = HK$14,859.00</t>
  </si>
  <si>
    <t>(HK$14,859.00 for Instalment 2 (partial settlement))</t>
  </si>
  <si>
    <t>Payment on 19/11/2021 = HK$14,859.00</t>
  </si>
  <si>
    <t>(HK$8,116.00 for Instalment 5 (full settlement))</t>
  </si>
  <si>
    <t>Payment on 21/12/2021 = HK$14,859.00</t>
  </si>
  <si>
    <t>(HK$7,948.00 for Instalment 6 (full settlement))</t>
  </si>
  <si>
    <t>Payment on 21/01/2022 = HK$14,859.00</t>
  </si>
  <si>
    <t>(HK$7,775.00 for Instalment 7 (full settlement))</t>
  </si>
  <si>
    <t>Payment on 21/03/2022 = HK$14,859.00</t>
  </si>
  <si>
    <t>(HK$7,416.00 for Instalment 9 (full settlement))</t>
  </si>
  <si>
    <t>Payment on 22/04/2022 = HK$14,859.00</t>
  </si>
  <si>
    <t>(HK$7,230.00 for Instalment 10 (full settlement))</t>
  </si>
  <si>
    <t>Payment on 24/05/2022 = HK$14,859.00</t>
  </si>
  <si>
    <t>(HK$7,040.00 for Instalment 11 (full settlement))</t>
  </si>
  <si>
    <t>Payment on 13/07/2022 = HK$15,198.00</t>
  </si>
  <si>
    <t>(HK$6,844.00 for Instalment 12 (full settlement))</t>
  </si>
  <si>
    <t>Payment on 02/08/2022 = HK$15,069.00</t>
  </si>
  <si>
    <t>(HK$6,644.00 for Instalment 13 (full settlement))</t>
  </si>
  <si>
    <t>Payment on 13/09/2022 = HK$15,205.00</t>
  </si>
  <si>
    <t>(HK$6,438.00 for Instalment 14 (full settlement))</t>
  </si>
  <si>
    <t>Payment on 07/10/2022 = HK$15,120.00</t>
  </si>
  <si>
    <t>(HK$6,228.00 for Instalment 15 (full settlement))</t>
  </si>
  <si>
    <t>Payment on 17/10/2022 = HK$14,859.00</t>
  </si>
  <si>
    <t>(HK$6,012.00 for Instalment 16 (full settlement))</t>
  </si>
  <si>
    <t>Payment on 16/11/2022 = HK$14,859.00</t>
  </si>
  <si>
    <t>(HK$5,791.00 for Instalment 17 (full settlement))</t>
  </si>
  <si>
    <t>Payment on 11/01/2023 = HK$15,171.00</t>
  </si>
  <si>
    <t>(HK$5,564.00 for Instalment 18 (full settlement))</t>
  </si>
  <si>
    <t>Payment on 13/02/2023 = HK$15,217.00</t>
  </si>
  <si>
    <t>(HK$5,332.00 for Instalment 19 (full settlement))</t>
  </si>
  <si>
    <t>Payment on 17/03/2023 = HK$15,234.00</t>
  </si>
  <si>
    <t>(HK$9,944.00 for Instalment 21 (full settlement))</t>
  </si>
  <si>
    <t>Total Default Interest: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</si>
</sst>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9">
    <font>
      <sz val="11"/>
      <color theme="1"/>
      <name val="新細明體"/>
      <family val="2"/>
      <charset val="136"/>
      <scheme val="minor"/>
    </font>
    <font>
      <sz val="11"/>
      <color theme="1"/>
      <name val="新細明體"/>
      <family val="2"/>
      <charset val="136"/>
      <scheme val="minor"/>
    </font>
    <font>
      <sz val="11"/>
      <color rgb="FFFF00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color rgb="FF000000"/>
      <name val="新細明體"/>
    </font>
    <font>
      <sz val="11"/>
      <color theme="1"/>
      <name val="Calibri"/>
      <family val="2"/>
    </font>
    <font>
      <sz val="11"/>
      <color rgb="FF006100"/>
      <name val="新細明體"/>
      <family val="2"/>
      <charset val="136"/>
      <scheme val="minor"/>
    </font>
    <font>
      <sz val="14"/>
      <name val="Times New Roman"/>
      <family val="1"/>
    </font>
    <font>
      <b/>
      <sz val="14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B6C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14" fontId="0" fillId="0" borderId="0" xfId="0" applyNumberFormat="1">
      <alignment vertical="center"/>
    </xf>
    <xf numFmtId="43" fontId="0" fillId="0" borderId="0" xfId="1" applyFont="1">
      <alignment vertical="center"/>
    </xf>
    <xf numFmtId="10" fontId="0" fillId="0" borderId="0" xfId="2" applyNumberFormat="1" applyFont="1">
      <alignment vertical="center"/>
    </xf>
    <xf numFmtId="43" fontId="0" fillId="0" borderId="0" xfId="1" applyFont="1" applyFill="1">
      <alignment vertical="center"/>
    </xf>
    <xf numFmtId="0" fontId="0" fillId="0" borderId="0" xfId="0" quotePrefix="1">
      <alignment vertical="center"/>
    </xf>
    <xf numFmtId="14" fontId="5" fillId="0" borderId="1" xfId="0" applyNumberFormat="1" applyFont="1" applyBorder="1" applyAlignment="1">
      <alignment horizontal="center" vertical="center"/>
    </xf>
    <xf numFmtId="43" fontId="5" fillId="0" borderId="1" xfId="1" applyFont="1" applyBorder="1" applyAlignment="1">
      <alignment horizontal="left" vertical="center"/>
    </xf>
    <xf numFmtId="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2" fillId="0" borderId="0" xfId="0" applyNumberFormat="1" applyFont="1">
      <alignment vertical="center"/>
    </xf>
    <xf numFmtId="0" fontId="7" fillId="0" borderId="1" xfId="3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7" fillId="0" borderId="0" xfId="0" applyFont="1">
      <alignment vertical="center"/>
    </xf>
    <xf numFmtId="0" fontId="7" fillId="0" borderId="1" xfId="3" applyFont="1" applyFill="1" applyBorder="1" applyAlignment="1">
      <alignment horizontal="center" vertical="center"/>
    </xf>
    <xf numFmtId="4" fontId="7" fillId="0" borderId="1" xfId="3" applyNumberFormat="1" applyFont="1" applyFill="1" applyBorder="1" applyAlignment="1">
      <alignment horizontal="center" vertical="center"/>
    </xf>
    <xf numFmtId="14" fontId="7" fillId="0" borderId="1" xfId="3" applyNumberFormat="1" applyFont="1" applyFill="1" applyBorder="1" applyAlignment="1">
      <alignment horizontal="center" vertical="center"/>
    </xf>
    <xf numFmtId="14" fontId="7" fillId="0" borderId="0" xfId="0" applyNumberFormat="1" applyFont="1" applyAlignment="1">
      <alignment horizontal="center" vertical="center"/>
    </xf>
    <xf numFmtId="4" fontId="7" fillId="0" borderId="0" xfId="0" applyNumberFormat="1" applyFont="1" applyAlignment="1">
      <alignment horizontal="center" vertical="center"/>
    </xf>
    <xf numFmtId="2" fontId="7" fillId="0" borderId="0" xfId="0" applyNumberFormat="1" applyFont="1">
      <alignment vertical="center"/>
    </xf>
    <xf numFmtId="0" fontId="7" fillId="0" borderId="1" xfId="3" applyNumberFormat="1" applyFont="1" applyFill="1" applyBorder="1" applyAlignment="1">
      <alignment horizontal="center" vertical="center"/>
    </xf>
    <xf numFmtId="0" fontId="7" fillId="0" borderId="0" xfId="3" applyFont="1" applyFill="1" applyBorder="1" applyAlignment="1">
      <alignment horizontal="center" vertical="center"/>
    </xf>
    <xf numFmtId="14" fontId="7" fillId="0" borderId="0" xfId="3" applyNumberFormat="1" applyFont="1" applyFill="1" applyBorder="1" applyAlignment="1">
      <alignment horizontal="center" vertical="center"/>
    </xf>
    <xf numFmtId="0" fontId="7" fillId="0" borderId="0" xfId="3" applyNumberFormat="1" applyFont="1" applyFill="1" applyBorder="1" applyAlignment="1">
      <alignment horizontal="center" vertical="center"/>
    </xf>
    <xf numFmtId="4" fontId="8" fillId="0" borderId="1" xfId="3" applyNumberFormat="1" applyFont="1" applyFill="1" applyBorder="1" applyAlignment="1">
      <alignment horizontal="center" vertical="center"/>
    </xf>
    <xf numFmtId="0" fontId="7" fillId="3" borderId="1" xfId="3" applyFont="1" applyFill="1" applyBorder="1" applyAlignment="1">
      <alignment horizontal="left" vertical="center"/>
    </xf>
  </cellXfs>
  <cellStyles count="4">
    <cellStyle name="Comma" xfId="1" builtinId="3"/>
    <cellStyle name="Good" xfId="3" builtinId="26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297180</xdr:colOff>
          <xdr:row>2</xdr:row>
          <xdr:rowOff>190500</xdr:rowOff>
        </xdr:from>
        <xdr:to>
          <xdr:col>1</xdr:col>
          <xdr:colOff>1356360</xdr:colOff>
          <xdr:row>5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01B4D-B8A9-46E7-8BFE-C4C5002EE48F}">
  <sheetPr codeName="Sheet1"/>
  <dimension ref="A1:G13"/>
  <sheetViews>
    <sheetView zoomScale="150" zoomScaleNormal="150" workbookViewId="0">
      <selection activeCell="B6" sqref="B6"/>
    </sheetView>
  </sheetViews>
  <sheetFormatPr defaultRowHeight="15"/>
  <cols>
    <col min="1" max="1" width="18.125" customWidth="1"/>
    <col min="2" max="2" width="25" customWidth="1"/>
    <col min="3" max="3" width="16.125" bestFit="1" customWidth="1"/>
    <col min="4" max="4" width="15.375" bestFit="1" customWidth="1"/>
    <col min="6" max="6" width="38" customWidth="1"/>
    <col min="7" max="7" width="15" style="2" customWidth="1"/>
  </cols>
  <sheetData>
    <row r="1" spans="1:7">
      <c r="A1" t="s">
        <v>4</v>
      </c>
      <c r="B1" t="s">
        <v>5</v>
      </c>
      <c r="C1" t="s">
        <v>6</v>
      </c>
      <c r="D1" t="s">
        <v>7</v>
      </c>
    </row>
    <row r="2" spans="1:7">
      <c r="A2" s="3">
        <v>0.3</v>
      </c>
      <c r="B2" s="1">
        <v>46000</v>
      </c>
      <c r="C2" s="1">
        <v>45089</v>
      </c>
      <c r="D2">
        <f>IF(DAY(C2)=DAY('Repayment Schedule'!B2),VLOOKUP(C2,'Repayment Schedule'!A2:D25,4,TRUE),VLOOKUP(C2,'Repayment Schedule'!A2:D25,4,TRUE)-1)</f>
        <v>23</v>
      </c>
    </row>
    <row r="3" spans="1:7">
      <c r="F3" t="s">
        <v>50</v>
      </c>
      <c r="G3" s="2">
        <v>8454.34</v>
      </c>
    </row>
    <row r="5" spans="1:7">
      <c r="F5" t="s">
        <v>10</v>
      </c>
      <c r="G5" s="2">
        <v>8943</v>
      </c>
    </row>
    <row r="13" spans="1:7">
      <c r="C13" s="5"/>
    </row>
  </sheetData>
  <phoneticPr fontId="3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Main">
                <anchor moveWithCells="1" sizeWithCells="1">
                  <from>
                    <xdr:col>1</xdr:col>
                    <xdr:colOff>297180</xdr:colOff>
                    <xdr:row>2</xdr:row>
                    <xdr:rowOff>190500</xdr:rowOff>
                  </from>
                  <to>
                    <xdr:col>1</xdr:col>
                    <xdr:colOff>1356360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3C32D-4C50-4738-8506-06E12CFB50CB}">
  <sheetPr codeName="Sheet2"/>
  <dimension ref="A1:H30"/>
  <sheetViews>
    <sheetView topLeftCell="A22" zoomScale="130" zoomScaleNormal="130" workbookViewId="0">
      <selection activeCell="B28" sqref="B28"/>
    </sheetView>
  </sheetViews>
  <sheetFormatPr defaultRowHeight="15"/>
  <cols>
    <col min="1" max="1" width="12" customWidth="1"/>
    <col min="2" max="2" width="17.375" customWidth="1"/>
    <col min="3" max="3" width="14.875" customWidth="1"/>
    <col min="4" max="4" width="12" customWidth="1"/>
    <col min="5" max="5" width="14.625" customWidth="1"/>
    <col min="6" max="6" width="12.5" customWidth="1"/>
    <col min="7" max="7" width="20.375" customWidth="1"/>
    <col min="8" max="8" width="12.875" customWidth="1"/>
  </cols>
  <sheetData>
    <row r="1" spans="1:8">
      <c r="A1" t="s">
        <v>3</v>
      </c>
      <c r="B1" t="s">
        <v>9</v>
      </c>
      <c r="C1" t="s">
        <v>0</v>
      </c>
      <c r="D1" t="s">
        <v>8</v>
      </c>
    </row>
    <row r="2" spans="1:8">
      <c r="A2" s="1">
        <v>44362</v>
      </c>
      <c r="B2" s="9">
        <v>44392</v>
      </c>
      <c r="C2" s="8">
        <v>8459</v>
      </c>
      <c r="D2">
        <v>1</v>
      </c>
      <c r="E2" s="1"/>
      <c r="F2" s="9"/>
      <c r="G2" s="8"/>
    </row>
    <row r="3" spans="1:8">
      <c r="A3" s="1">
        <f>B2+1</f>
        <v>44393</v>
      </c>
      <c r="B3" s="9">
        <v>44423</v>
      </c>
      <c r="C3" s="8">
        <v>8598</v>
      </c>
      <c r="D3">
        <v>2</v>
      </c>
      <c r="E3" s="1"/>
      <c r="F3" s="9"/>
      <c r="G3" s="8"/>
    </row>
    <row r="4" spans="1:8">
      <c r="A4" s="1">
        <f t="shared" ref="A4:A25" si="0">B3+1</f>
        <v>44424</v>
      </c>
      <c r="B4" s="9">
        <v>44454</v>
      </c>
      <c r="C4" s="8">
        <v>8441</v>
      </c>
      <c r="D4">
        <v>3</v>
      </c>
      <c r="E4" s="1"/>
      <c r="F4" s="9"/>
      <c r="G4" s="8"/>
    </row>
    <row r="5" spans="1:8">
      <c r="A5" s="1">
        <f t="shared" si="0"/>
        <v>44455</v>
      </c>
      <c r="B5" s="9">
        <v>44484</v>
      </c>
      <c r="C5" s="8">
        <v>8281</v>
      </c>
      <c r="D5">
        <v>4</v>
      </c>
      <c r="E5" s="1"/>
      <c r="F5" s="9"/>
      <c r="G5" s="8"/>
    </row>
    <row r="6" spans="1:8">
      <c r="A6" s="1">
        <f t="shared" si="0"/>
        <v>44485</v>
      </c>
      <c r="B6" s="9">
        <v>44515</v>
      </c>
      <c r="C6" s="8">
        <v>8116</v>
      </c>
      <c r="D6">
        <v>5</v>
      </c>
      <c r="E6" s="1"/>
      <c r="F6" s="9"/>
      <c r="G6" s="8"/>
    </row>
    <row r="7" spans="1:8">
      <c r="A7" s="1">
        <f t="shared" si="0"/>
        <v>44516</v>
      </c>
      <c r="B7" s="9">
        <v>44545</v>
      </c>
      <c r="C7" s="8">
        <v>7948</v>
      </c>
      <c r="D7">
        <v>6</v>
      </c>
      <c r="E7" s="1"/>
      <c r="F7" s="9"/>
      <c r="G7" s="8"/>
    </row>
    <row r="8" spans="1:8">
      <c r="A8" s="1">
        <f t="shared" si="0"/>
        <v>44546</v>
      </c>
      <c r="B8" s="9">
        <v>44576</v>
      </c>
      <c r="C8" s="8">
        <v>7775</v>
      </c>
      <c r="D8">
        <v>7</v>
      </c>
      <c r="E8" s="1"/>
      <c r="F8" s="9"/>
      <c r="G8" s="8"/>
    </row>
    <row r="9" spans="1:8">
      <c r="A9" s="1">
        <f t="shared" si="0"/>
        <v>44577</v>
      </c>
      <c r="B9" s="9">
        <v>44607</v>
      </c>
      <c r="C9" s="8">
        <v>7598</v>
      </c>
      <c r="D9">
        <v>8</v>
      </c>
      <c r="E9" s="1"/>
      <c r="F9" s="9"/>
      <c r="G9" s="8"/>
    </row>
    <row r="10" spans="1:8">
      <c r="A10" s="1">
        <f t="shared" si="0"/>
        <v>44608</v>
      </c>
      <c r="B10" s="9">
        <v>44635</v>
      </c>
      <c r="C10" s="8">
        <v>7416</v>
      </c>
      <c r="D10">
        <v>9</v>
      </c>
      <c r="E10" s="1"/>
      <c r="F10" s="9"/>
      <c r="G10" s="8"/>
    </row>
    <row r="11" spans="1:8">
      <c r="A11" s="1">
        <f t="shared" si="0"/>
        <v>44636</v>
      </c>
      <c r="B11" s="9">
        <v>44666</v>
      </c>
      <c r="C11" s="8">
        <v>7230</v>
      </c>
      <c r="D11">
        <v>10</v>
      </c>
      <c r="E11" s="1"/>
      <c r="F11" s="9"/>
      <c r="G11" s="8"/>
    </row>
    <row r="12" spans="1:8">
      <c r="A12" s="1">
        <f t="shared" si="0"/>
        <v>44667</v>
      </c>
      <c r="B12" s="9">
        <v>44696</v>
      </c>
      <c r="C12" s="8">
        <v>7040</v>
      </c>
      <c r="D12">
        <v>11</v>
      </c>
      <c r="E12" s="1"/>
      <c r="F12" s="9"/>
      <c r="G12" s="8"/>
    </row>
    <row r="13" spans="1:8">
      <c r="A13" s="1">
        <f t="shared" si="0"/>
        <v>44697</v>
      </c>
      <c r="B13" s="9">
        <v>44727</v>
      </c>
      <c r="C13" s="8">
        <v>6844</v>
      </c>
      <c r="D13">
        <v>12</v>
      </c>
      <c r="E13" s="1"/>
      <c r="F13" s="9"/>
      <c r="G13" s="8"/>
    </row>
    <row r="14" spans="1:8">
      <c r="A14" s="1">
        <f t="shared" si="0"/>
        <v>44728</v>
      </c>
      <c r="B14" s="9">
        <v>44757</v>
      </c>
      <c r="C14" s="8">
        <v>6644</v>
      </c>
      <c r="D14">
        <v>13</v>
      </c>
      <c r="E14" s="1"/>
      <c r="F14" s="9"/>
      <c r="G14" s="8"/>
    </row>
    <row r="15" spans="1:8">
      <c r="A15" s="1">
        <f t="shared" si="0"/>
        <v>44758</v>
      </c>
      <c r="B15" s="9">
        <v>44788</v>
      </c>
      <c r="C15" s="8">
        <v>6438</v>
      </c>
      <c r="D15">
        <v>14</v>
      </c>
      <c r="E15" s="1"/>
      <c r="F15" s="9"/>
      <c r="G15" s="8"/>
      <c r="H15" s="1"/>
    </row>
    <row r="16" spans="1:8">
      <c r="A16" s="1">
        <f t="shared" si="0"/>
        <v>44789</v>
      </c>
      <c r="B16" s="9">
        <v>44819</v>
      </c>
      <c r="C16" s="8">
        <v>6228</v>
      </c>
      <c r="D16">
        <v>15</v>
      </c>
      <c r="E16" s="1"/>
      <c r="F16" s="9"/>
      <c r="G16" s="8"/>
    </row>
    <row r="17" spans="1:7">
      <c r="A17" s="1">
        <f t="shared" si="0"/>
        <v>44820</v>
      </c>
      <c r="B17" s="9">
        <v>44849</v>
      </c>
      <c r="C17" s="8">
        <v>6012</v>
      </c>
      <c r="D17">
        <v>16</v>
      </c>
      <c r="F17" s="9"/>
      <c r="G17" s="8"/>
    </row>
    <row r="18" spans="1:7">
      <c r="A18" s="1">
        <f t="shared" si="0"/>
        <v>44850</v>
      </c>
      <c r="B18" s="9">
        <v>44880</v>
      </c>
      <c r="C18" s="8">
        <v>5791</v>
      </c>
      <c r="D18">
        <v>17</v>
      </c>
      <c r="E18" s="1"/>
      <c r="F18" s="9"/>
      <c r="G18" s="8"/>
    </row>
    <row r="19" spans="1:7">
      <c r="A19" s="1">
        <f t="shared" si="0"/>
        <v>44881</v>
      </c>
      <c r="B19" s="9">
        <v>44910</v>
      </c>
      <c r="C19" s="8">
        <v>5564</v>
      </c>
      <c r="D19">
        <v>18</v>
      </c>
      <c r="E19" s="1"/>
      <c r="F19" s="9"/>
      <c r="G19" s="8"/>
    </row>
    <row r="20" spans="1:7">
      <c r="A20" s="1">
        <f t="shared" si="0"/>
        <v>44911</v>
      </c>
      <c r="B20" s="9">
        <v>44941</v>
      </c>
      <c r="C20" s="8">
        <v>5332</v>
      </c>
      <c r="D20">
        <v>19</v>
      </c>
      <c r="E20" s="1"/>
      <c r="F20" s="9"/>
      <c r="G20" s="8"/>
    </row>
    <row r="21" spans="1:7">
      <c r="A21" s="1">
        <f t="shared" si="0"/>
        <v>44942</v>
      </c>
      <c r="B21" s="9">
        <v>44972</v>
      </c>
      <c r="C21" s="8">
        <v>5094</v>
      </c>
      <c r="D21">
        <v>20</v>
      </c>
      <c r="F21" s="9"/>
      <c r="G21" s="8"/>
    </row>
    <row r="22" spans="1:7">
      <c r="A22" s="1">
        <f t="shared" si="0"/>
        <v>44973</v>
      </c>
      <c r="B22" s="9">
        <v>45000</v>
      </c>
      <c r="C22" s="8">
        <v>4850</v>
      </c>
      <c r="D22">
        <v>21</v>
      </c>
      <c r="E22" s="1"/>
      <c r="F22" s="9"/>
      <c r="G22" s="8"/>
    </row>
    <row r="23" spans="1:7">
      <c r="A23" s="1">
        <f t="shared" si="0"/>
        <v>45001</v>
      </c>
      <c r="B23" s="9">
        <v>45031</v>
      </c>
      <c r="C23" s="8">
        <v>4600</v>
      </c>
      <c r="D23">
        <v>22</v>
      </c>
      <c r="F23" s="9"/>
      <c r="G23" s="8"/>
    </row>
    <row r="24" spans="1:7">
      <c r="A24" s="1">
        <f t="shared" si="0"/>
        <v>45032</v>
      </c>
      <c r="B24" s="9">
        <v>45061</v>
      </c>
      <c r="C24" s="8">
        <v>4343</v>
      </c>
      <c r="D24">
        <v>23</v>
      </c>
      <c r="F24" s="9"/>
      <c r="G24" s="8"/>
    </row>
    <row r="25" spans="1:7">
      <c r="A25" s="1">
        <f t="shared" si="0"/>
        <v>45062</v>
      </c>
      <c r="B25" s="9">
        <v>46000</v>
      </c>
      <c r="C25" s="4">
        <v>2000</v>
      </c>
      <c r="D25">
        <v>24</v>
      </c>
    </row>
    <row r="29" spans="1:7">
      <c r="B29" s="10" t="s">
        <v>5</v>
      </c>
    </row>
    <row r="30" spans="1:7">
      <c r="B30" s="10" t="s">
        <v>17</v>
      </c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5445C-81E3-4479-8365-E34D14B7208D}">
  <sheetPr codeName="Sheet3"/>
  <dimension ref="A1:C22"/>
  <sheetViews>
    <sheetView zoomScale="130" zoomScaleNormal="130" workbookViewId="0">
      <selection activeCell="E1" sqref="E1:I1048576"/>
    </sheetView>
  </sheetViews>
  <sheetFormatPr defaultRowHeight="15"/>
  <cols>
    <col min="1" max="1" width="16" bestFit="1" customWidth="1"/>
    <col min="2" max="2" width="18.875" bestFit="1" customWidth="1"/>
    <col min="3" max="3" width="11" bestFit="1" customWidth="1"/>
  </cols>
  <sheetData>
    <row r="1" spans="1:3">
      <c r="A1" t="s">
        <v>1</v>
      </c>
      <c r="B1" t="s">
        <v>2</v>
      </c>
    </row>
    <row r="2" spans="1:3">
      <c r="A2" s="6">
        <v>44390</v>
      </c>
      <c r="B2" s="7">
        <v>15000</v>
      </c>
    </row>
    <row r="3" spans="1:3">
      <c r="A3" s="6">
        <v>44424</v>
      </c>
      <c r="B3" s="7">
        <v>14859</v>
      </c>
    </row>
    <row r="4" spans="1:3">
      <c r="A4" s="6">
        <v>44454</v>
      </c>
      <c r="B4" s="7">
        <v>14859</v>
      </c>
    </row>
    <row r="5" spans="1:3">
      <c r="A5" s="6">
        <v>44484</v>
      </c>
      <c r="B5" s="7">
        <v>14859</v>
      </c>
    </row>
    <row r="6" spans="1:3">
      <c r="A6" s="6">
        <v>44519</v>
      </c>
      <c r="B6" s="7">
        <v>14859</v>
      </c>
    </row>
    <row r="7" spans="1:3">
      <c r="A7" s="6">
        <v>44551</v>
      </c>
      <c r="B7" s="7">
        <v>14859</v>
      </c>
    </row>
    <row r="8" spans="1:3">
      <c r="A8" s="6">
        <v>44582</v>
      </c>
      <c r="B8" s="7">
        <v>14859</v>
      </c>
      <c r="C8" s="1"/>
    </row>
    <row r="9" spans="1:3">
      <c r="A9" s="6">
        <v>44607</v>
      </c>
      <c r="B9" s="7">
        <v>14859</v>
      </c>
      <c r="C9" s="1"/>
    </row>
    <row r="10" spans="1:3">
      <c r="A10" s="6">
        <v>44641</v>
      </c>
      <c r="B10" s="7">
        <v>14859</v>
      </c>
      <c r="C10" s="1"/>
    </row>
    <row r="11" spans="1:3">
      <c r="A11" s="6">
        <v>44673</v>
      </c>
      <c r="B11" s="7">
        <v>14859</v>
      </c>
      <c r="C11" s="1"/>
    </row>
    <row r="12" spans="1:3">
      <c r="A12" s="6">
        <v>44705</v>
      </c>
      <c r="B12" s="7">
        <v>14859</v>
      </c>
      <c r="C12" s="1"/>
    </row>
    <row r="13" spans="1:3">
      <c r="A13" s="6">
        <v>44706</v>
      </c>
      <c r="B13" s="7">
        <v>104</v>
      </c>
      <c r="C13" s="1"/>
    </row>
    <row r="14" spans="1:3">
      <c r="A14" s="6">
        <v>44755</v>
      </c>
      <c r="B14" s="7">
        <v>15198</v>
      </c>
      <c r="C14" s="1"/>
    </row>
    <row r="15" spans="1:3">
      <c r="A15" s="6">
        <v>44775</v>
      </c>
      <c r="B15" s="7">
        <v>15069</v>
      </c>
      <c r="C15" s="1"/>
    </row>
    <row r="16" spans="1:3">
      <c r="A16" s="6">
        <v>44817</v>
      </c>
      <c r="B16" s="7">
        <v>15205</v>
      </c>
      <c r="C16" s="1"/>
    </row>
    <row r="17" spans="1:3">
      <c r="A17" s="6">
        <v>44841</v>
      </c>
      <c r="B17" s="7">
        <v>15120</v>
      </c>
      <c r="C17" s="1"/>
    </row>
    <row r="18" spans="1:3">
      <c r="A18" s="6">
        <v>44851</v>
      </c>
      <c r="B18" s="7">
        <v>14859</v>
      </c>
      <c r="C18" s="1"/>
    </row>
    <row r="19" spans="1:3">
      <c r="A19" s="6">
        <v>44881</v>
      </c>
      <c r="B19" s="7">
        <v>14859</v>
      </c>
      <c r="C19" s="1"/>
    </row>
    <row r="20" spans="1:3">
      <c r="A20" s="6">
        <v>44937</v>
      </c>
      <c r="B20" s="7">
        <v>15171</v>
      </c>
    </row>
    <row r="21" spans="1:3">
      <c r="A21" s="6">
        <v>44970</v>
      </c>
      <c r="B21" s="7">
        <v>15217</v>
      </c>
    </row>
    <row r="22" spans="1:3">
      <c r="A22" s="6">
        <v>45002</v>
      </c>
      <c r="B22" s="7">
        <v>15234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BAF2F9-D98D-4812-9770-F13950732C47}">
  <sheetPr codeName="Sheet9"/>
  <dimension ref="A1:L55"/>
  <sheetViews>
    <sheetView tabSelected="1" zoomScale="85" zoomScaleNormal="85" workbookViewId="0">
      <selection activeCell="A12" sqref="A12:F12"/>
    </sheetView>
  </sheetViews>
  <sheetFormatPr defaultRowHeight="18"/>
  <cols>
    <col min="1" max="1" width="19.625" style="21" customWidth="1"/>
    <col min="2" max="2" width="26.625" style="21" customWidth="1"/>
    <col min="3" max="4" width="20.625" style="22" customWidth="1"/>
    <col min="5" max="5" width="14.625" style="23" customWidth="1"/>
    <col min="6" max="6" width="26.625" style="21" customWidth="1"/>
    <col min="7" max="7" width="24.625" style="12" customWidth="1"/>
    <col min="8" max="9" width="14.25" style="12" customWidth="1"/>
    <col min="10" max="11" width="9" style="12"/>
    <col min="12" max="12" width="14.25" style="13" customWidth="1"/>
    <col min="13" max="16384" width="9" style="13"/>
  </cols>
  <sheetData>
    <row r="1" spans="1:12" ht="33.6" customHeight="1">
      <c r="A1" s="11" t="s">
        <v>14</v>
      </c>
      <c r="B1" s="11" t="s">
        <v>15</v>
      </c>
      <c r="C1" s="11" t="s">
        <v>11</v>
      </c>
      <c r="D1" s="11" t="s">
        <v>12</v>
      </c>
      <c r="E1" s="11" t="s">
        <v>16</v>
      </c>
      <c r="F1" s="11" t="s">
        <v>13</v>
      </c>
    </row>
    <row r="2" spans="1:12">
      <c r="A2" s="14">
        <v>1</v>
      </c>
      <c r="B2" s="15">
        <v>8459</v>
      </c>
      <c r="C2" s="16">
        <v>44393</v>
      </c>
      <c r="D2" s="16">
        <v>44423</v>
      </c>
      <c r="E2" s="14">
        <v>31</v>
      </c>
      <c r="F2" s="14">
        <v>215.53</v>
      </c>
      <c r="H2" s="17"/>
      <c r="I2" s="17"/>
      <c r="K2" s="18"/>
      <c r="L2" s="19"/>
    </row>
    <row r="3" spans="1:12">
      <c r="A3" s="14">
        <v>2</v>
      </c>
      <c r="B3" s="15">
        <v>17057</v>
      </c>
      <c r="C3" s="16">
        <v>44424</v>
      </c>
      <c r="D3" s="16">
        <v>44424</v>
      </c>
      <c r="E3" s="14">
        <v>1</v>
      </c>
      <c r="F3" s="14">
        <v>14.02</v>
      </c>
      <c r="H3" s="17"/>
      <c r="I3" s="17"/>
      <c r="K3" s="18"/>
      <c r="L3" s="19"/>
    </row>
    <row r="4" spans="1:12">
      <c r="A4" s="25" t="s">
        <v>18</v>
      </c>
      <c r="B4" s="25"/>
      <c r="C4" s="25"/>
      <c r="D4" s="25"/>
      <c r="E4" s="25"/>
      <c r="F4" s="25"/>
      <c r="H4" s="17"/>
      <c r="I4" s="17"/>
      <c r="K4" s="18"/>
      <c r="L4" s="19"/>
    </row>
    <row r="5" spans="1:12">
      <c r="A5" s="25" t="s">
        <v>19</v>
      </c>
      <c r="B5" s="25"/>
      <c r="C5" s="25"/>
      <c r="D5" s="25"/>
      <c r="E5" s="25"/>
      <c r="F5" s="25"/>
      <c r="H5" s="17"/>
      <c r="I5" s="17"/>
      <c r="K5" s="18"/>
      <c r="L5" s="19"/>
    </row>
    <row r="6" spans="1:12">
      <c r="A6" s="14">
        <v>2</v>
      </c>
      <c r="B6" s="15">
        <v>2198</v>
      </c>
      <c r="C6" s="16">
        <v>44425</v>
      </c>
      <c r="D6" s="16">
        <v>44454</v>
      </c>
      <c r="E6" s="14">
        <v>30</v>
      </c>
      <c r="F6" s="14">
        <v>54.2</v>
      </c>
      <c r="H6" s="17"/>
      <c r="I6" s="17"/>
      <c r="K6" s="18"/>
      <c r="L6" s="19"/>
    </row>
    <row r="7" spans="1:12">
      <c r="A7" s="14">
        <v>5</v>
      </c>
      <c r="B7" s="15">
        <v>8116</v>
      </c>
      <c r="C7" s="16">
        <v>44516</v>
      </c>
      <c r="D7" s="16">
        <v>44519</v>
      </c>
      <c r="E7" s="14">
        <v>4</v>
      </c>
      <c r="F7" s="14">
        <v>26.68</v>
      </c>
      <c r="H7" s="17"/>
      <c r="I7" s="17"/>
      <c r="K7" s="18"/>
      <c r="L7" s="19"/>
    </row>
    <row r="8" spans="1:12">
      <c r="A8" s="25" t="s">
        <v>20</v>
      </c>
      <c r="B8" s="25"/>
      <c r="C8" s="25"/>
      <c r="D8" s="25"/>
      <c r="E8" s="25"/>
      <c r="F8" s="25"/>
      <c r="H8" s="17"/>
      <c r="I8" s="17"/>
      <c r="K8" s="18"/>
      <c r="L8" s="19"/>
    </row>
    <row r="9" spans="1:12">
      <c r="A9" s="25" t="s">
        <v>21</v>
      </c>
      <c r="B9" s="25"/>
      <c r="C9" s="25"/>
      <c r="D9" s="25"/>
      <c r="E9" s="25"/>
      <c r="F9" s="25"/>
      <c r="H9" s="17"/>
      <c r="I9" s="17"/>
      <c r="K9" s="18"/>
      <c r="L9" s="19"/>
    </row>
    <row r="10" spans="1:12">
      <c r="A10" s="14">
        <v>6</v>
      </c>
      <c r="B10" s="15">
        <v>7948</v>
      </c>
      <c r="C10" s="16">
        <v>44546</v>
      </c>
      <c r="D10" s="16">
        <v>44551</v>
      </c>
      <c r="E10" s="14">
        <v>6</v>
      </c>
      <c r="F10" s="14">
        <v>39.200000000000003</v>
      </c>
      <c r="H10" s="17"/>
      <c r="I10" s="17"/>
      <c r="K10" s="18"/>
      <c r="L10" s="19"/>
    </row>
    <row r="11" spans="1:12">
      <c r="A11" s="25" t="s">
        <v>22</v>
      </c>
      <c r="B11" s="25"/>
      <c r="C11" s="25"/>
      <c r="D11" s="25"/>
      <c r="E11" s="25"/>
      <c r="F11" s="25"/>
      <c r="H11" s="17"/>
      <c r="I11" s="17"/>
      <c r="K11" s="18"/>
      <c r="L11" s="19"/>
    </row>
    <row r="12" spans="1:12">
      <c r="A12" s="25" t="s">
        <v>23</v>
      </c>
      <c r="B12" s="25"/>
      <c r="C12" s="25"/>
      <c r="D12" s="25"/>
      <c r="E12" s="25"/>
      <c r="F12" s="25"/>
      <c r="H12" s="17"/>
      <c r="I12" s="17"/>
      <c r="K12" s="18"/>
      <c r="L12" s="19"/>
    </row>
    <row r="13" spans="1:12">
      <c r="A13" s="14">
        <v>7</v>
      </c>
      <c r="B13" s="15">
        <v>7775</v>
      </c>
      <c r="C13" s="16">
        <v>44577</v>
      </c>
      <c r="D13" s="16">
        <v>44582</v>
      </c>
      <c r="E13" s="14">
        <v>6</v>
      </c>
      <c r="F13" s="14">
        <v>38.340000000000003</v>
      </c>
      <c r="H13" s="17"/>
      <c r="I13" s="17"/>
      <c r="K13" s="18"/>
      <c r="L13" s="19"/>
    </row>
    <row r="14" spans="1:12">
      <c r="A14" s="25" t="s">
        <v>24</v>
      </c>
      <c r="B14" s="25"/>
      <c r="C14" s="25"/>
      <c r="D14" s="25"/>
      <c r="E14" s="25"/>
      <c r="F14" s="25"/>
      <c r="H14" s="17"/>
      <c r="I14" s="17"/>
      <c r="K14" s="18"/>
      <c r="L14" s="19"/>
    </row>
    <row r="15" spans="1:12">
      <c r="A15" s="25" t="s">
        <v>25</v>
      </c>
      <c r="B15" s="25"/>
      <c r="C15" s="25"/>
      <c r="D15" s="25"/>
      <c r="E15" s="25"/>
      <c r="F15" s="25"/>
      <c r="H15" s="17"/>
      <c r="I15" s="17"/>
      <c r="K15" s="18"/>
      <c r="L15" s="19"/>
    </row>
    <row r="16" spans="1:12">
      <c r="A16" s="14">
        <v>9</v>
      </c>
      <c r="B16" s="15">
        <v>7416</v>
      </c>
      <c r="C16" s="16">
        <v>44636</v>
      </c>
      <c r="D16" s="16">
        <v>44641</v>
      </c>
      <c r="E16" s="14">
        <v>6</v>
      </c>
      <c r="F16" s="14">
        <v>36.57</v>
      </c>
      <c r="H16" s="17"/>
      <c r="I16" s="17"/>
      <c r="K16" s="18"/>
      <c r="L16" s="19"/>
    </row>
    <row r="17" spans="1:12">
      <c r="A17" s="25" t="s">
        <v>26</v>
      </c>
      <c r="B17" s="25"/>
      <c r="C17" s="25"/>
      <c r="D17" s="25"/>
      <c r="E17" s="25"/>
      <c r="F17" s="25"/>
      <c r="H17" s="17"/>
      <c r="I17" s="17"/>
      <c r="K17" s="18"/>
      <c r="L17" s="19"/>
    </row>
    <row r="18" spans="1:12">
      <c r="A18" s="25" t="s">
        <v>27</v>
      </c>
      <c r="B18" s="25"/>
      <c r="C18" s="25"/>
      <c r="D18" s="25"/>
      <c r="E18" s="25"/>
      <c r="F18" s="25"/>
    </row>
    <row r="19" spans="1:12">
      <c r="A19" s="14">
        <v>10</v>
      </c>
      <c r="B19" s="15">
        <v>7230</v>
      </c>
      <c r="C19" s="16">
        <v>44667</v>
      </c>
      <c r="D19" s="16">
        <v>44673</v>
      </c>
      <c r="E19" s="14">
        <v>7</v>
      </c>
      <c r="F19" s="14">
        <v>41.6</v>
      </c>
    </row>
    <row r="20" spans="1:12">
      <c r="A20" s="25" t="s">
        <v>28</v>
      </c>
      <c r="B20" s="25"/>
      <c r="C20" s="25"/>
      <c r="D20" s="25"/>
      <c r="E20" s="25"/>
      <c r="F20" s="25"/>
    </row>
    <row r="21" spans="1:12">
      <c r="A21" s="25" t="s">
        <v>29</v>
      </c>
      <c r="B21" s="25"/>
      <c r="C21" s="25"/>
      <c r="D21" s="25"/>
      <c r="E21" s="25"/>
      <c r="F21" s="25"/>
    </row>
    <row r="22" spans="1:12">
      <c r="A22" s="14">
        <v>11</v>
      </c>
      <c r="B22" s="15">
        <v>7040</v>
      </c>
      <c r="C22" s="16">
        <v>44697</v>
      </c>
      <c r="D22" s="16">
        <v>44705</v>
      </c>
      <c r="E22" s="14">
        <v>9</v>
      </c>
      <c r="F22" s="14">
        <v>52.08</v>
      </c>
    </row>
    <row r="23" spans="1:12">
      <c r="A23" s="25" t="s">
        <v>30</v>
      </c>
      <c r="B23" s="25"/>
      <c r="C23" s="25"/>
      <c r="D23" s="25"/>
      <c r="E23" s="25"/>
      <c r="F23" s="25"/>
    </row>
    <row r="24" spans="1:12">
      <c r="A24" s="25" t="s">
        <v>31</v>
      </c>
      <c r="B24" s="25"/>
      <c r="C24" s="25"/>
      <c r="D24" s="25"/>
      <c r="E24" s="25"/>
      <c r="F24" s="25"/>
    </row>
    <row r="25" spans="1:12">
      <c r="A25" s="14">
        <v>12</v>
      </c>
      <c r="B25" s="15">
        <v>6844</v>
      </c>
      <c r="C25" s="16">
        <v>44728</v>
      </c>
      <c r="D25" s="16">
        <v>44755</v>
      </c>
      <c r="E25" s="14">
        <v>28</v>
      </c>
      <c r="F25" s="14">
        <v>157.51</v>
      </c>
    </row>
    <row r="26" spans="1:12">
      <c r="A26" s="25" t="s">
        <v>32</v>
      </c>
      <c r="B26" s="25"/>
      <c r="C26" s="25"/>
      <c r="D26" s="25"/>
      <c r="E26" s="25"/>
      <c r="F26" s="25"/>
    </row>
    <row r="27" spans="1:12">
      <c r="A27" s="25" t="s">
        <v>33</v>
      </c>
      <c r="B27" s="25"/>
      <c r="C27" s="25"/>
      <c r="D27" s="25"/>
      <c r="E27" s="25"/>
      <c r="F27" s="25"/>
    </row>
    <row r="28" spans="1:12">
      <c r="A28" s="14">
        <v>13</v>
      </c>
      <c r="B28" s="15">
        <v>6644</v>
      </c>
      <c r="C28" s="16">
        <v>44758</v>
      </c>
      <c r="D28" s="16">
        <v>44775</v>
      </c>
      <c r="E28" s="14">
        <v>18</v>
      </c>
      <c r="F28" s="14">
        <v>98.29</v>
      </c>
    </row>
    <row r="29" spans="1:12">
      <c r="A29" s="25" t="s">
        <v>34</v>
      </c>
      <c r="B29" s="25"/>
      <c r="C29" s="25"/>
      <c r="D29" s="25"/>
      <c r="E29" s="25"/>
      <c r="F29" s="25"/>
    </row>
    <row r="30" spans="1:12">
      <c r="A30" s="25" t="s">
        <v>35</v>
      </c>
      <c r="B30" s="25"/>
      <c r="C30" s="25"/>
      <c r="D30" s="25"/>
      <c r="E30" s="25"/>
      <c r="F30" s="25"/>
    </row>
    <row r="31" spans="1:12">
      <c r="A31" s="14">
        <v>14</v>
      </c>
      <c r="B31" s="15">
        <v>6438</v>
      </c>
      <c r="C31" s="16">
        <v>44789</v>
      </c>
      <c r="D31" s="16">
        <v>44817</v>
      </c>
      <c r="E31" s="14">
        <v>29</v>
      </c>
      <c r="F31" s="14">
        <v>153.44999999999999</v>
      </c>
    </row>
    <row r="32" spans="1:12">
      <c r="A32" s="25" t="s">
        <v>36</v>
      </c>
      <c r="B32" s="25"/>
      <c r="C32" s="25"/>
      <c r="D32" s="25"/>
      <c r="E32" s="25"/>
      <c r="F32" s="25"/>
    </row>
    <row r="33" spans="1:6">
      <c r="A33" s="25" t="s">
        <v>37</v>
      </c>
      <c r="B33" s="25"/>
      <c r="C33" s="25"/>
      <c r="D33" s="25"/>
      <c r="E33" s="25"/>
      <c r="F33" s="25"/>
    </row>
    <row r="34" spans="1:6">
      <c r="A34" s="14">
        <v>15</v>
      </c>
      <c r="B34" s="15">
        <v>6228</v>
      </c>
      <c r="C34" s="16">
        <v>44820</v>
      </c>
      <c r="D34" s="16">
        <v>44841</v>
      </c>
      <c r="E34" s="14">
        <v>22</v>
      </c>
      <c r="F34" s="14">
        <v>112.62</v>
      </c>
    </row>
    <row r="35" spans="1:6">
      <c r="A35" s="25" t="s">
        <v>38</v>
      </c>
      <c r="B35" s="25"/>
      <c r="C35" s="25"/>
      <c r="D35" s="25"/>
      <c r="E35" s="25"/>
      <c r="F35" s="25"/>
    </row>
    <row r="36" spans="1:6">
      <c r="A36" s="25" t="s">
        <v>39</v>
      </c>
      <c r="B36" s="25"/>
      <c r="C36" s="25"/>
      <c r="D36" s="25"/>
      <c r="E36" s="25"/>
      <c r="F36" s="25"/>
    </row>
    <row r="37" spans="1:6">
      <c r="A37" s="14">
        <v>16</v>
      </c>
      <c r="B37" s="15">
        <v>6012</v>
      </c>
      <c r="C37" s="16">
        <v>44850</v>
      </c>
      <c r="D37" s="16">
        <v>44851</v>
      </c>
      <c r="E37" s="14">
        <v>2</v>
      </c>
      <c r="F37" s="14">
        <v>9.8800000000000008</v>
      </c>
    </row>
    <row r="38" spans="1:6">
      <c r="A38" s="25" t="s">
        <v>40</v>
      </c>
      <c r="B38" s="25"/>
      <c r="C38" s="25"/>
      <c r="D38" s="25"/>
      <c r="E38" s="25"/>
      <c r="F38" s="25"/>
    </row>
    <row r="39" spans="1:6">
      <c r="A39" s="25" t="s">
        <v>41</v>
      </c>
      <c r="B39" s="25"/>
      <c r="C39" s="25"/>
      <c r="D39" s="25"/>
      <c r="E39" s="25"/>
      <c r="F39" s="25"/>
    </row>
    <row r="40" spans="1:6">
      <c r="A40" s="14">
        <v>17</v>
      </c>
      <c r="B40" s="15">
        <v>5791</v>
      </c>
      <c r="C40" s="16">
        <v>44881</v>
      </c>
      <c r="D40" s="16">
        <v>44881</v>
      </c>
      <c r="E40" s="20">
        <v>1</v>
      </c>
      <c r="F40" s="14">
        <v>4.76</v>
      </c>
    </row>
    <row r="41" spans="1:6">
      <c r="A41" s="25" t="s">
        <v>42</v>
      </c>
      <c r="B41" s="25"/>
      <c r="C41" s="25"/>
      <c r="D41" s="25"/>
      <c r="E41" s="25"/>
      <c r="F41" s="25"/>
    </row>
    <row r="42" spans="1:6">
      <c r="A42" s="25" t="s">
        <v>43</v>
      </c>
      <c r="B42" s="25"/>
      <c r="C42" s="25"/>
      <c r="D42" s="25"/>
      <c r="E42" s="25"/>
      <c r="F42" s="25"/>
    </row>
    <row r="43" spans="1:6">
      <c r="A43" s="14">
        <v>18</v>
      </c>
      <c r="B43" s="15">
        <v>5564</v>
      </c>
      <c r="C43" s="16">
        <v>44911</v>
      </c>
      <c r="D43" s="16">
        <v>44937</v>
      </c>
      <c r="E43" s="20">
        <v>27</v>
      </c>
      <c r="F43" s="14">
        <v>123.48</v>
      </c>
    </row>
    <row r="44" spans="1:6">
      <c r="A44" s="25" t="s">
        <v>44</v>
      </c>
      <c r="B44" s="25"/>
      <c r="C44" s="25"/>
      <c r="D44" s="25"/>
      <c r="E44" s="25"/>
      <c r="F44" s="25"/>
    </row>
    <row r="45" spans="1:6">
      <c r="A45" s="25" t="s">
        <v>45</v>
      </c>
      <c r="B45" s="25"/>
      <c r="C45" s="25"/>
      <c r="D45" s="25"/>
      <c r="E45" s="25"/>
      <c r="F45" s="25"/>
    </row>
    <row r="46" spans="1:6">
      <c r="A46" s="14">
        <v>19</v>
      </c>
      <c r="B46" s="15">
        <v>5332</v>
      </c>
      <c r="C46" s="16">
        <v>44942</v>
      </c>
      <c r="D46" s="16">
        <v>44970</v>
      </c>
      <c r="E46" s="20">
        <v>29</v>
      </c>
      <c r="F46" s="14">
        <v>127.09</v>
      </c>
    </row>
    <row r="47" spans="1:6">
      <c r="A47" s="25" t="s">
        <v>46</v>
      </c>
      <c r="B47" s="25"/>
      <c r="C47" s="25"/>
      <c r="D47" s="25"/>
      <c r="E47" s="25"/>
      <c r="F47" s="25"/>
    </row>
    <row r="48" spans="1:6">
      <c r="A48" s="25" t="s">
        <v>47</v>
      </c>
      <c r="B48" s="25"/>
      <c r="C48" s="25"/>
      <c r="D48" s="25"/>
      <c r="E48" s="25"/>
      <c r="F48" s="25"/>
    </row>
    <row r="49" spans="1:6">
      <c r="A49" s="14">
        <v>20</v>
      </c>
      <c r="B49" s="15">
        <v>5094</v>
      </c>
      <c r="C49" s="16">
        <v>44973</v>
      </c>
      <c r="D49" s="16">
        <v>45000</v>
      </c>
      <c r="E49" s="20">
        <v>28</v>
      </c>
      <c r="F49" s="14">
        <v>117.23</v>
      </c>
    </row>
    <row r="50" spans="1:6">
      <c r="A50" s="14">
        <v>21</v>
      </c>
      <c r="B50" s="15">
        <v>9944</v>
      </c>
      <c r="C50" s="16">
        <v>45001</v>
      </c>
      <c r="D50" s="16">
        <v>45002</v>
      </c>
      <c r="E50" s="20">
        <v>2</v>
      </c>
      <c r="F50" s="14">
        <v>16.350000000000001</v>
      </c>
    </row>
    <row r="51" spans="1:6">
      <c r="A51" s="25" t="s">
        <v>48</v>
      </c>
      <c r="B51" s="25"/>
      <c r="C51" s="25"/>
      <c r="D51" s="25"/>
      <c r="E51" s="25"/>
      <c r="F51" s="25"/>
    </row>
    <row r="52" spans="1:6">
      <c r="A52" s="25" t="s">
        <v>49</v>
      </c>
      <c r="B52" s="25"/>
      <c r="C52" s="25"/>
      <c r="D52" s="25"/>
      <c r="E52" s="25"/>
      <c r="F52" s="25"/>
    </row>
    <row r="53" spans="1:6">
      <c r="A53" s="14">
        <v>22</v>
      </c>
      <c r="B53" s="15">
        <v>4600</v>
      </c>
      <c r="C53" s="16">
        <v>45032</v>
      </c>
      <c r="D53" s="16">
        <v>45061</v>
      </c>
      <c r="E53" s="20">
        <v>30</v>
      </c>
      <c r="F53" s="14">
        <v>113.42</v>
      </c>
    </row>
    <row r="54" spans="1:6">
      <c r="A54" s="14">
        <v>23</v>
      </c>
      <c r="B54" s="15">
        <v>8943</v>
      </c>
      <c r="C54" s="16">
        <v>45062</v>
      </c>
      <c r="D54" s="16">
        <v>46000</v>
      </c>
      <c r="E54" s="20">
        <v>939</v>
      </c>
      <c r="F54" s="15">
        <v>6902.04</v>
      </c>
    </row>
    <row r="55" spans="1:6">
      <c r="A55" s="14"/>
      <c r="B55" s="14"/>
      <c r="C55" s="16"/>
      <c r="D55" s="16"/>
      <c r="E55" s="20"/>
      <c r="F55" s="24">
        <v>8454.34</v>
      </c>
    </row>
  </sheetData>
  <mergeCells count="32">
    <mergeCell ref="A21:F21"/>
    <mergeCell ref="A4:F4"/>
    <mergeCell ref="A5:F5"/>
    <mergeCell ref="A8:F8"/>
    <mergeCell ref="A9:F9"/>
    <mergeCell ref="A11:F11"/>
    <mergeCell ref="A12:F12"/>
    <mergeCell ref="A14:F14"/>
    <mergeCell ref="A15:F15"/>
    <mergeCell ref="A17:F17"/>
    <mergeCell ref="A18:F18"/>
    <mergeCell ref="A20:F20"/>
    <mergeCell ref="A39:F39"/>
    <mergeCell ref="A23:F23"/>
    <mergeCell ref="A24:F24"/>
    <mergeCell ref="A26:F26"/>
    <mergeCell ref="A27:F27"/>
    <mergeCell ref="A29:F29"/>
    <mergeCell ref="A30:F30"/>
    <mergeCell ref="A32:F32"/>
    <mergeCell ref="A33:F33"/>
    <mergeCell ref="A35:F35"/>
    <mergeCell ref="A36:F36"/>
    <mergeCell ref="A38:F38"/>
    <mergeCell ref="A51:F51"/>
    <mergeCell ref="A52:F52"/>
    <mergeCell ref="A41:F41"/>
    <mergeCell ref="A42:F42"/>
    <mergeCell ref="A44:F44"/>
    <mergeCell ref="A45:F45"/>
    <mergeCell ref="A47:F47"/>
    <mergeCell ref="A48:F48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</vt:lpstr>
      <vt:lpstr>Repayment Schedule</vt:lpstr>
      <vt:lpstr>Repayment History</vt:lpstr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2023-05-20T07:24:33Z</dcterms:created>
  <dcterms:modified xsi:type="dcterms:W3CDTF">2024-01-27T04:20:14Z</dcterms:modified>
</cp:coreProperties>
</file>